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Respostas" sheetId="2" state="visible" r:id="rId2"/>
    <sheet name="Resumo" sheetId="3" state="visible" r:id="rId3"/>
  </sheets>
  <definedNames>
    <definedName name="_xlnm._FilterDatabase" localSheetId="1" hidden="1">'Respostas'!$A$2:$R$77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%;-0%;&quot;-&quot;"/>
    <numFmt numFmtId="166" formatCode="0.0"/>
    <numFmt numFmtId="167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D4D4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4D46"/>
      <sz val="14"/>
    </font>
    <font>
      <name val="Arial"/>
      <b val="1"/>
      <color rgb="001D4D46"/>
      <sz val="12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DCE8E5"/>
      </patternFill>
    </fill>
    <fill>
      <patternFill patternType="solid">
        <fgColor rgb="001D4D4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  <xf numFmtId="0" fontId="3" fillId="0" borderId="1" applyAlignment="1" pivotButton="0" quotePrefix="0" xfId="0">
      <alignment horizontal="left" wrapText="1"/>
    </xf>
    <xf numFmtId="164" fontId="3" fillId="0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164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6" fillId="0" borderId="1" pivotButton="0" quotePrefix="0" xfId="0"/>
    <xf numFmtId="1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Roteiro TOPA</author>
  </authors>
  <commentList>
    <comment ref="C2" authorId="0" shapeId="0">
      <text>
        <t>Data da entrevista (dd/mm/aaaa). É ela que conta a entrevista como feita no Resumo.</t>
      </text>
    </comment>
    <comment ref="D2" authorId="0" shapeId="0">
      <text>
        <t>Onde a entrevista foi feita (ex.: padaria do bairro, bandejão, lanchonete).</t>
      </text>
    </comment>
    <comment ref="E2" authorId="0" shapeId="0">
      <text>
        <t>Olhando essa tela, você saberia fazer um pedido sozinho, sem ajuda?</t>
      </text>
    </comment>
    <comment ref="F2" authorId="0" shapeId="0">
      <text>
        <t>Esse totem resolveria a espera ou o atendimento que você costuma enfrentar nesses lugares? 1 (nada) a 5 (totalmente).</t>
      </text>
    </comment>
    <comment ref="G2" authorId="0" shapeId="0">
      <text>
        <t>A "sugestão para você" ajuda ou incomoda? Como você se sentiria sabendo que ela é feita por uma câmera no aparelho? Anotar a reação espontânea.</t>
      </text>
    </comment>
    <comment ref="H2" authorId="0" shapeId="0">
      <text>
        <t>Você pagaria por aqui em vez de ir ao caixa?</t>
      </text>
    </comment>
    <comment ref="I2" authorId="0" shapeId="0">
      <text>
        <t>Por quê (ou por que não)?</t>
      </text>
    </comment>
    <comment ref="J2" authorId="0" shapeId="0">
      <text>
        <t>O que te deixaria inseguro ao pagar nesse totem? Anotar confiança, medo de erro ou falta de recibo.</t>
      </text>
    </comment>
    <comment ref="K2" authorId="0" shapeId="0">
      <text>
        <t>Você pagaria mais caro (ex.: R$ 1 a mais) por essa comodidade, ou só usaria se fosse igual ao caixa?</t>
      </text>
    </comment>
    <comment ref="L2" authorId="0" shapeId="0">
      <text>
        <t>Se a fila estivesse grande, você pediria pelo próprio celular ou esperaria o totem?</t>
      </text>
    </comment>
    <comment ref="M2" authorId="0" shapeId="0">
      <text>
        <t>Por quê?</t>
      </text>
    </comment>
    <comment ref="N2" authorId="0" shapeId="0">
      <text>
        <t>Escanear ou aproximar o celular sem baixar app é tranquilo para você?</t>
      </text>
    </comment>
    <comment ref="O2" authorId="0" shapeId="0">
      <text>
        <t>O que travaria?</t>
      </text>
    </comment>
    <comment ref="P2" authorId="0" shapeId="0">
      <text>
        <t>No geral: você usaria esse totem no lugar do caixa? 1 a 5.</t>
      </text>
    </comment>
    <comment ref="Q2" authorId="0" shapeId="0">
      <text>
        <t>Motivo da nota da P9.</t>
      </text>
    </comment>
    <comment ref="R2" authorId="0" shapeId="0">
      <text>
        <t>Qualquer coisa que a pessoa disse ou fez fora das perguntas.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70" customWidth="1" min="3" max="3"/>
    <col width="30" customWidth="1" min="4" max="4"/>
  </cols>
  <sheetData>
    <row r="1">
      <c r="A1" s="1" t="inlineStr">
        <is>
          <t>Respostas das entrevistas: TOPA, Totem por Assinatura</t>
        </is>
      </c>
    </row>
    <row r="2">
      <c r="A2" s="2" t="inlineStr">
        <is>
          <t>ACH2008 - Empreendedorismo em Informática, turma T94</t>
        </is>
      </c>
    </row>
    <row r="4">
      <c r="A4" s="3" t="inlineStr">
        <is>
          <t>Como preencher</t>
        </is>
      </c>
    </row>
    <row r="5" ht="28" customHeight="1">
      <c r="A5" s="4" t="n">
        <v>1</v>
      </c>
      <c r="B5" s="5" t="inlineStr">
        <is>
          <t>Cada integrante preenche as suas 15 linhas na aba Respostas; o nome e o número já estão lá (células cinza, não editar).</t>
        </is>
      </c>
    </row>
    <row r="6" ht="28" customHeight="1">
      <c r="A6" s="4" t="n">
        <v>2</v>
      </c>
      <c r="B6" s="5" t="inlineStr">
        <is>
          <t>Preencha a Data de cada entrevista: é ela que conta a entrevista como feita na aba Resumo.</t>
        </is>
      </c>
    </row>
    <row r="7" ht="28" customHeight="1">
      <c r="A7" s="4" t="n">
        <v>3</v>
      </c>
      <c r="B7" s="5" t="inlineStr">
        <is>
          <t>Colunas com lista: escolha no menu da célula. Escalas (P2 e P9): número inteiro de 1 a 5.</t>
        </is>
      </c>
    </row>
    <row r="8" ht="28" customHeight="1">
      <c r="A8" s="4" t="n">
        <v>4</v>
      </c>
      <c r="B8" s="5" t="inlineStr">
        <is>
          <t>Perguntas abertas: anote com as palavras da pessoa. Passe o mouse no cabeçalho para ver a pergunta completa.</t>
        </is>
      </c>
    </row>
    <row r="9" ht="28" customHeight="1">
      <c r="A9" s="4" t="n">
        <v>5</v>
      </c>
      <c r="B9" s="5" t="inlineStr">
        <is>
          <t>Não registre nome, telefone, e-mail ou foto do entrevistado: este arquivo fica num repositório público.</t>
        </is>
      </c>
    </row>
    <row r="10" ht="28" customHeight="1">
      <c r="A10" s="4" t="n">
        <v>6</v>
      </c>
      <c r="B10" s="5" t="inlineStr">
        <is>
          <t>A aba Resumo é calculada sozinha a partir das respostas; não digite nada nela.</t>
        </is>
      </c>
    </row>
    <row r="12">
      <c r="A12" s="3" t="inlineStr">
        <is>
          <t>Roteiro</t>
        </is>
      </c>
    </row>
    <row r="13">
      <c r="A13" s="6" t="inlineStr">
        <is>
          <t>Nº</t>
        </is>
      </c>
      <c r="B13" s="6" t="inlineStr">
        <is>
          <t>Tela</t>
        </is>
      </c>
      <c r="C13" s="6" t="inlineStr">
        <is>
          <t>Pergunta</t>
        </is>
      </c>
      <c r="D13" s="6" t="inlineStr">
        <is>
          <t>Resposta</t>
        </is>
      </c>
    </row>
    <row r="14" ht="30" customHeight="1">
      <c r="A14" s="7" t="n">
        <v>1</v>
      </c>
      <c r="B14" s="8" t="inlineStr">
        <is>
          <t>1. Cardápio</t>
        </is>
      </c>
      <c r="C14" s="8" t="inlineStr">
        <is>
          <t>Olhando essa tela, você saberia fazer um pedido sozinho, sem ajuda?</t>
        </is>
      </c>
      <c r="D14" s="8" t="inlineStr">
        <is>
          <t>Sim, Com dúvida ou Não</t>
        </is>
      </c>
    </row>
    <row r="15" ht="30" customHeight="1">
      <c r="A15" s="7" t="n">
        <v>2</v>
      </c>
      <c r="B15" s="8" t="inlineStr">
        <is>
          <t>1. Cardápio</t>
        </is>
      </c>
      <c r="C15" s="8" t="inlineStr">
        <is>
          <t>Esse totem resolveria a espera ou o atendimento que você costuma enfrentar nesses lugares? 1 (nada) a 5 (totalmente).</t>
        </is>
      </c>
      <c r="D15" s="8" t="inlineStr">
        <is>
          <t>Número de 1 a 5</t>
        </is>
      </c>
    </row>
    <row r="16" ht="30" customHeight="1">
      <c r="A16" s="7" t="n">
        <v>3</v>
      </c>
      <c r="B16" s="8" t="inlineStr">
        <is>
          <t>1. Cardápio</t>
        </is>
      </c>
      <c r="C16" s="8" t="inlineStr">
        <is>
          <t>A "sugestão para você" ajuda ou incomoda? Como você se sentiria sabendo que ela é feita por uma câmera no aparelho? Anotar a reação espontânea.</t>
        </is>
      </c>
      <c r="D16" s="8" t="inlineStr">
        <is>
          <t>Texto livre</t>
        </is>
      </c>
    </row>
    <row r="17" ht="30" customHeight="1">
      <c r="A17" s="7" t="n">
        <v>4</v>
      </c>
      <c r="B17" s="8" t="inlineStr">
        <is>
          <t>2. Pagamento</t>
        </is>
      </c>
      <c r="C17" s="8" t="inlineStr">
        <is>
          <t>Você pagaria por aqui em vez de ir ao caixa? Por quê (ou por que não)?</t>
        </is>
      </c>
      <c r="D17" s="8" t="inlineStr">
        <is>
          <t>Sim ou Não, e o motivo</t>
        </is>
      </c>
    </row>
    <row r="18" ht="30" customHeight="1">
      <c r="A18" s="7" t="n">
        <v>5</v>
      </c>
      <c r="B18" s="8" t="inlineStr">
        <is>
          <t>2. Pagamento</t>
        </is>
      </c>
      <c r="C18" s="8" t="inlineStr">
        <is>
          <t>O que te deixaria inseguro ao pagar nesse totem? Anotar confiança, medo de erro ou falta de recibo.</t>
        </is>
      </c>
      <c r="D18" s="8" t="inlineStr">
        <is>
          <t>Texto livre</t>
        </is>
      </c>
    </row>
    <row r="19" ht="30" customHeight="1">
      <c r="A19" s="7" t="n">
        <v>6</v>
      </c>
      <c r="B19" s="8" t="inlineStr">
        <is>
          <t>2. Pagamento</t>
        </is>
      </c>
      <c r="C19" s="8" t="inlineStr">
        <is>
          <t>Você pagaria mais caro (ex.: R$ 1 a mais) por essa comodidade, ou só usaria se fosse igual ao caixa?</t>
        </is>
      </c>
      <c r="D19" s="8" t="inlineStr">
        <is>
          <t>Sim, Só se igual ou Não</t>
        </is>
      </c>
    </row>
    <row r="20" ht="30" customHeight="1">
      <c r="A20" s="7" t="n">
        <v>7</v>
      </c>
      <c r="B20" s="8" t="inlineStr">
        <is>
          <t>3. Fila cheia</t>
        </is>
      </c>
      <c r="C20" s="8" t="inlineStr">
        <is>
          <t>Se a fila estivesse grande, você pediria pelo próprio celular ou esperaria o totem? Por quê?</t>
        </is>
      </c>
      <c r="D20" s="8" t="inlineStr">
        <is>
          <t>Celular ou Totem, e o motivo</t>
        </is>
      </c>
    </row>
    <row r="21" ht="30" customHeight="1">
      <c r="A21" s="7" t="n">
        <v>8</v>
      </c>
      <c r="B21" s="8" t="inlineStr">
        <is>
          <t>3. Fila cheia</t>
        </is>
      </c>
      <c r="C21" s="8" t="inlineStr">
        <is>
          <t>Escanear ou aproximar o celular sem baixar app é tranquilo para você? O que travaria?</t>
        </is>
      </c>
      <c r="D21" s="8" t="inlineStr">
        <is>
          <t>Sim ou Não, e o que travaria</t>
        </is>
      </c>
    </row>
    <row r="22" ht="30" customHeight="1">
      <c r="A22" s="7" t="n">
        <v>9</v>
      </c>
      <c r="B22" s="8" t="inlineStr">
        <is>
          <t>3. Fila cheia</t>
        </is>
      </c>
      <c r="C22" s="8" t="inlineStr">
        <is>
          <t>No geral: você usaria esse totem no lugar do caixa? Pergunte o motivo da nota.</t>
        </is>
      </c>
      <c r="D22" s="8" t="inlineStr">
        <is>
          <t>Número de 1 a 5, e o motivo</t>
        </is>
      </c>
    </row>
    <row r="24">
      <c r="A24" s="3" t="inlineStr">
        <is>
          <t>Exemplo de linha preenchida (fictício, só para mostrar o formato)</t>
        </is>
      </c>
    </row>
    <row r="25">
      <c r="B25" s="6" t="inlineStr">
        <is>
          <t>Coluna</t>
        </is>
      </c>
      <c r="C25" s="6" t="inlineStr">
        <is>
          <t>Exemplo</t>
        </is>
      </c>
    </row>
    <row r="26">
      <c r="B26" s="9" t="inlineStr">
        <is>
          <t>Entrevistador</t>
        </is>
      </c>
      <c r="C26" s="10" t="inlineStr">
        <is>
          <t>Kauã Lima de Souza</t>
        </is>
      </c>
    </row>
    <row r="27">
      <c r="B27" s="9" t="inlineStr">
        <is>
          <t>Nº</t>
        </is>
      </c>
      <c r="C27" s="10" t="n">
        <v>1</v>
      </c>
    </row>
    <row r="28">
      <c r="B28" s="9" t="inlineStr">
        <is>
          <t>Data</t>
        </is>
      </c>
      <c r="C28" s="11" t="n">
        <v>46294</v>
      </c>
    </row>
    <row r="29">
      <c r="B29" s="9" t="inlineStr">
        <is>
          <t>Local</t>
        </is>
      </c>
      <c r="C29" s="10" t="inlineStr">
        <is>
          <t>Padaria do bairro</t>
        </is>
      </c>
    </row>
    <row r="30">
      <c r="B30" s="9" t="inlineStr">
        <is>
          <t>P1 Pede sozinho?</t>
        </is>
      </c>
      <c r="C30" s="10" t="inlineStr">
        <is>
          <t>Sim</t>
        </is>
      </c>
    </row>
    <row r="31">
      <c r="B31" s="9" t="inlineStr">
        <is>
          <t>P2 Resolve a espera (1 a 5)</t>
        </is>
      </c>
      <c r="C31" s="10" t="n">
        <v>4</v>
      </c>
    </row>
    <row r="32">
      <c r="B32" s="9" t="inlineStr">
        <is>
          <t>P3 Sugestão e câmera</t>
        </is>
      </c>
      <c r="C32" s="10" t="inlineStr">
        <is>
          <t>A sugestão ajuda, mas a câmera incomoda um pouco</t>
        </is>
      </c>
    </row>
    <row r="33">
      <c r="B33" s="9" t="inlineStr">
        <is>
          <t>P4 Pagaria no totem?</t>
        </is>
      </c>
      <c r="C33" s="10" t="inlineStr">
        <is>
          <t>Sim</t>
        </is>
      </c>
    </row>
    <row r="34">
      <c r="B34" s="9" t="inlineStr">
        <is>
          <t>P4 Por quê</t>
        </is>
      </c>
      <c r="C34" s="10" t="inlineStr">
        <is>
          <t>É mais rápido que a fila do caixa</t>
        </is>
      </c>
    </row>
    <row r="35">
      <c r="B35" s="9" t="inlineStr">
        <is>
          <t>P5 O que deixaria inseguro</t>
        </is>
      </c>
      <c r="C35" s="10" t="inlineStr">
        <is>
          <t>Não sair comprovante impresso</t>
        </is>
      </c>
    </row>
    <row r="36">
      <c r="B36" s="9" t="inlineStr">
        <is>
          <t>P6 Pagaria mais caro?</t>
        </is>
      </c>
      <c r="C36" s="10" t="inlineStr">
        <is>
          <t>Só se igual</t>
        </is>
      </c>
    </row>
    <row r="37">
      <c r="B37" s="9" t="inlineStr">
        <is>
          <t>P7 Celular ou totem?</t>
        </is>
      </c>
      <c r="C37" s="10" t="inlineStr">
        <is>
          <t>Celular</t>
        </is>
      </c>
    </row>
    <row r="38">
      <c r="B38" s="9" t="inlineStr">
        <is>
          <t>P7 Por quê</t>
        </is>
      </c>
      <c r="C38" s="10" t="inlineStr">
        <is>
          <t>Não quer esperar em pé</t>
        </is>
      </c>
    </row>
    <row r="39">
      <c r="B39" s="9" t="inlineStr">
        <is>
          <t>P8 Sem app é tranquilo?</t>
        </is>
      </c>
      <c r="C39" s="10" t="inlineStr">
        <is>
          <t>Sim</t>
        </is>
      </c>
    </row>
    <row r="40">
      <c r="B40" s="9" t="inlineStr">
        <is>
          <t>P8 O que travaria</t>
        </is>
      </c>
      <c r="C40" s="10" t="inlineStr">
        <is>
          <t>Internet do celular ruim</t>
        </is>
      </c>
    </row>
    <row r="41">
      <c r="B41" s="9" t="inlineStr">
        <is>
          <t>P9 Usaria no lugar do caixa (1 a 5)</t>
        </is>
      </c>
      <c r="C41" s="10" t="n">
        <v>4</v>
      </c>
    </row>
    <row r="42">
      <c r="B42" s="9" t="inlineStr">
        <is>
          <t>P9 Motivo da nota</t>
        </is>
      </c>
      <c r="C42" s="10" t="inlineStr">
        <is>
          <t>Usaria no pico; com a loja vazia prefere o atendente</t>
        </is>
      </c>
    </row>
    <row r="43">
      <c r="B43" s="9" t="inlineStr">
        <is>
          <t>Observações</t>
        </is>
      </c>
      <c r="C43" s="10" t="inlineStr"/>
    </row>
  </sheetData>
  <mergeCells count="6">
    <mergeCell ref="B10:D10"/>
    <mergeCell ref="B5:D5"/>
    <mergeCell ref="B8:D8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" customWidth="1" min="2" max="2"/>
    <col width="12" customWidth="1" min="3" max="3"/>
    <col width="20" customWidth="1" min="4" max="4"/>
    <col width="14" customWidth="1" min="5" max="5"/>
    <col width="13" customWidth="1" min="6" max="6"/>
    <col width="36" customWidth="1" min="7" max="7"/>
    <col width="13" customWidth="1" min="8" max="8"/>
    <col width="30" customWidth="1" min="9" max="9"/>
    <col width="36" customWidth="1" min="10" max="10"/>
    <col width="14" customWidth="1" min="11" max="11"/>
    <col width="13" customWidth="1" min="12" max="12"/>
    <col width="30" customWidth="1" min="13" max="13"/>
    <col width="13" customWidth="1" min="14" max="14"/>
    <col width="30" customWidth="1" min="15" max="15"/>
    <col width="14" customWidth="1" min="16" max="16"/>
    <col width="30" customWidth="1" min="17" max="17"/>
    <col width="36" customWidth="1" min="18" max="18"/>
  </cols>
  <sheetData>
    <row r="1" ht="20" customHeight="1">
      <c r="A1" s="12" t="inlineStr">
        <is>
          <t>Entrevista</t>
        </is>
      </c>
      <c r="B1" s="13" t="n"/>
      <c r="C1" s="13" t="n"/>
      <c r="D1" s="13" t="n"/>
      <c r="E1" s="12" t="inlineStr">
        <is>
          <t>Tela 1: Cardápio</t>
        </is>
      </c>
      <c r="F1" s="13" t="n"/>
      <c r="G1" s="13" t="n"/>
      <c r="H1" s="12" t="inlineStr">
        <is>
          <t>Tela 2: Pagamento</t>
        </is>
      </c>
      <c r="I1" s="13" t="n"/>
      <c r="J1" s="13" t="n"/>
      <c r="K1" s="13" t="n"/>
      <c r="L1" s="12" t="inlineStr">
        <is>
          <t>Tela 3: Fila cheia</t>
        </is>
      </c>
      <c r="M1" s="13" t="n"/>
      <c r="N1" s="13" t="n"/>
      <c r="O1" s="13" t="n"/>
      <c r="P1" s="13" t="n"/>
      <c r="Q1" s="13" t="n"/>
      <c r="R1" s="12" t="inlineStr">
        <is>
          <t>Geral</t>
        </is>
      </c>
    </row>
    <row r="2" ht="42" customHeight="1">
      <c r="A2" s="6" t="inlineStr">
        <is>
          <t>Entrevistador</t>
        </is>
      </c>
      <c r="B2" s="6" t="inlineStr">
        <is>
          <t>Nº</t>
        </is>
      </c>
      <c r="C2" s="6" t="inlineStr">
        <is>
          <t>Data</t>
        </is>
      </c>
      <c r="D2" s="6" t="inlineStr">
        <is>
          <t>Local</t>
        </is>
      </c>
      <c r="E2" s="6" t="inlineStr">
        <is>
          <t>P1 Pede sozinho?</t>
        </is>
      </c>
      <c r="F2" s="6" t="inlineStr">
        <is>
          <t>P2 Resolve a espera (1 a 5)</t>
        </is>
      </c>
      <c r="G2" s="6" t="inlineStr">
        <is>
          <t>P3 Sugestão e câmera</t>
        </is>
      </c>
      <c r="H2" s="6" t="inlineStr">
        <is>
          <t>P4 Pagaria no totem?</t>
        </is>
      </c>
      <c r="I2" s="6" t="inlineStr">
        <is>
          <t>P4 Por quê</t>
        </is>
      </c>
      <c r="J2" s="6" t="inlineStr">
        <is>
          <t>P5 O que deixaria inseguro</t>
        </is>
      </c>
      <c r="K2" s="6" t="inlineStr">
        <is>
          <t>P6 Pagaria mais caro?</t>
        </is>
      </c>
      <c r="L2" s="6" t="inlineStr">
        <is>
          <t>P7 Celular ou totem?</t>
        </is>
      </c>
      <c r="M2" s="6" t="inlineStr">
        <is>
          <t>P7 Por quê</t>
        </is>
      </c>
      <c r="N2" s="6" t="inlineStr">
        <is>
          <t>P8 Sem app é tranquilo?</t>
        </is>
      </c>
      <c r="O2" s="6" t="inlineStr">
        <is>
          <t>P8 O que travaria</t>
        </is>
      </c>
      <c r="P2" s="6" t="inlineStr">
        <is>
          <t>P9 Usaria no lugar do caixa (1 a 5)</t>
        </is>
      </c>
      <c r="Q2" s="6" t="inlineStr">
        <is>
          <t>P9 Motivo da nota</t>
        </is>
      </c>
      <c r="R2" s="6" t="inlineStr">
        <is>
          <t>Observações</t>
        </is>
      </c>
    </row>
    <row r="3">
      <c r="A3" s="14" t="inlineStr">
        <is>
          <t>Kauã Lima de Souza</t>
        </is>
      </c>
      <c r="B3" s="15" t="n">
        <v>1</v>
      </c>
      <c r="C3" s="16" t="n"/>
      <c r="D3" s="17" t="n"/>
      <c r="E3" s="17" t="n"/>
      <c r="F3" s="18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  <c r="Q3" s="17" t="n"/>
      <c r="R3" s="17" t="n"/>
    </row>
    <row r="4">
      <c r="A4" s="14" t="inlineStr">
        <is>
          <t>Kauã Lima de Souza</t>
        </is>
      </c>
      <c r="B4" s="15" t="n">
        <v>2</v>
      </c>
      <c r="C4" s="16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8" t="n"/>
      <c r="Q4" s="17" t="n"/>
      <c r="R4" s="17" t="n"/>
    </row>
    <row r="5">
      <c r="A5" s="14" t="inlineStr">
        <is>
          <t>Kauã Lima de Souza</t>
        </is>
      </c>
      <c r="B5" s="15" t="n">
        <v>3</v>
      </c>
      <c r="C5" s="16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17" t="n"/>
      <c r="R5" s="17" t="n"/>
    </row>
    <row r="6">
      <c r="A6" s="14" t="inlineStr">
        <is>
          <t>Kauã Lima de Souza</t>
        </is>
      </c>
      <c r="B6" s="15" t="n">
        <v>4</v>
      </c>
      <c r="C6" s="16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8" t="n"/>
      <c r="Q6" s="17" t="n"/>
      <c r="R6" s="17" t="n"/>
    </row>
    <row r="7">
      <c r="A7" s="14" t="inlineStr">
        <is>
          <t>Kauã Lima de Souza</t>
        </is>
      </c>
      <c r="B7" s="15" t="n">
        <v>5</v>
      </c>
      <c r="C7" s="16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8" t="n"/>
      <c r="Q7" s="17" t="n"/>
      <c r="R7" s="17" t="n"/>
    </row>
    <row r="8">
      <c r="A8" s="14" t="inlineStr">
        <is>
          <t>Kauã Lima de Souza</t>
        </is>
      </c>
      <c r="B8" s="15" t="n">
        <v>6</v>
      </c>
      <c r="C8" s="16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8" t="n"/>
      <c r="Q8" s="17" t="n"/>
      <c r="R8" s="17" t="n"/>
    </row>
    <row r="9">
      <c r="A9" s="14" t="inlineStr">
        <is>
          <t>Kauã Lima de Souza</t>
        </is>
      </c>
      <c r="B9" s="15" t="n">
        <v>7</v>
      </c>
      <c r="C9" s="16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8" t="n"/>
      <c r="Q9" s="17" t="n"/>
      <c r="R9" s="17" t="n"/>
    </row>
    <row r="10">
      <c r="A10" s="14" t="inlineStr">
        <is>
          <t>Kauã Lima de Souza</t>
        </is>
      </c>
      <c r="B10" s="15" t="n">
        <v>8</v>
      </c>
      <c r="C10" s="16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8" t="n"/>
      <c r="Q10" s="17" t="n"/>
      <c r="R10" s="17" t="n"/>
    </row>
    <row r="11">
      <c r="A11" s="14" t="inlineStr">
        <is>
          <t>Kauã Lima de Souza</t>
        </is>
      </c>
      <c r="B11" s="15" t="n">
        <v>9</v>
      </c>
      <c r="C11" s="16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8" t="n"/>
      <c r="Q11" s="17" t="n"/>
      <c r="R11" s="17" t="n"/>
    </row>
    <row r="12">
      <c r="A12" s="14" t="inlineStr">
        <is>
          <t>Kauã Lima de Souza</t>
        </is>
      </c>
      <c r="B12" s="15" t="n">
        <v>10</v>
      </c>
      <c r="C12" s="16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8" t="n"/>
      <c r="Q12" s="17" t="n"/>
      <c r="R12" s="17" t="n"/>
    </row>
    <row r="13">
      <c r="A13" s="14" t="inlineStr">
        <is>
          <t>Kauã Lima de Souza</t>
        </is>
      </c>
      <c r="B13" s="15" t="n">
        <v>11</v>
      </c>
      <c r="C13" s="16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8" t="n"/>
      <c r="Q13" s="17" t="n"/>
      <c r="R13" s="17" t="n"/>
    </row>
    <row r="14">
      <c r="A14" s="14" t="inlineStr">
        <is>
          <t>Kauã Lima de Souza</t>
        </is>
      </c>
      <c r="B14" s="15" t="n">
        <v>12</v>
      </c>
      <c r="C14" s="16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8" t="n"/>
      <c r="Q14" s="17" t="n"/>
      <c r="R14" s="17" t="n"/>
    </row>
    <row r="15">
      <c r="A15" s="14" t="inlineStr">
        <is>
          <t>Kauã Lima de Souza</t>
        </is>
      </c>
      <c r="B15" s="15" t="n">
        <v>13</v>
      </c>
      <c r="C15" s="16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8" t="n"/>
      <c r="Q15" s="17" t="n"/>
      <c r="R15" s="17" t="n"/>
    </row>
    <row r="16">
      <c r="A16" s="14" t="inlineStr">
        <is>
          <t>Kauã Lima de Souza</t>
        </is>
      </c>
      <c r="B16" s="15" t="n">
        <v>14</v>
      </c>
      <c r="C16" s="16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8" t="n"/>
      <c r="Q16" s="17" t="n"/>
      <c r="R16" s="17" t="n"/>
    </row>
    <row r="17">
      <c r="A17" s="14" t="inlineStr">
        <is>
          <t>Kauã Lima de Souza</t>
        </is>
      </c>
      <c r="B17" s="15" t="n">
        <v>15</v>
      </c>
      <c r="C17" s="16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8" t="n"/>
      <c r="Q17" s="17" t="n"/>
      <c r="R17" s="17" t="n"/>
    </row>
    <row r="18">
      <c r="A18" s="14" t="inlineStr">
        <is>
          <t>Kevin Rodrigues Nunes</t>
        </is>
      </c>
      <c r="B18" s="15" t="n">
        <v>1</v>
      </c>
      <c r="C18" s="16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8" t="n"/>
      <c r="Q18" s="17" t="n"/>
      <c r="R18" s="17" t="n"/>
    </row>
    <row r="19">
      <c r="A19" s="14" t="inlineStr">
        <is>
          <t>Kevin Rodrigues Nunes</t>
        </is>
      </c>
      <c r="B19" s="15" t="n">
        <v>2</v>
      </c>
      <c r="C19" s="16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  <c r="Q19" s="17" t="n"/>
      <c r="R19" s="17" t="n"/>
    </row>
    <row r="20">
      <c r="A20" s="14" t="inlineStr">
        <is>
          <t>Kevin Rodrigues Nunes</t>
        </is>
      </c>
      <c r="B20" s="15" t="n">
        <v>3</v>
      </c>
      <c r="C20" s="16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8" t="n"/>
      <c r="Q20" s="17" t="n"/>
      <c r="R20" s="17" t="n"/>
    </row>
    <row r="21">
      <c r="A21" s="14" t="inlineStr">
        <is>
          <t>Kevin Rodrigues Nunes</t>
        </is>
      </c>
      <c r="B21" s="15" t="n">
        <v>4</v>
      </c>
      <c r="C21" s="16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8" t="n"/>
      <c r="Q21" s="17" t="n"/>
      <c r="R21" s="17" t="n"/>
    </row>
    <row r="22">
      <c r="A22" s="14" t="inlineStr">
        <is>
          <t>Kevin Rodrigues Nunes</t>
        </is>
      </c>
      <c r="B22" s="15" t="n">
        <v>5</v>
      </c>
      <c r="C22" s="16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8" t="n"/>
      <c r="Q22" s="17" t="n"/>
      <c r="R22" s="17" t="n"/>
    </row>
    <row r="23">
      <c r="A23" s="14" t="inlineStr">
        <is>
          <t>Kevin Rodrigues Nunes</t>
        </is>
      </c>
      <c r="B23" s="15" t="n">
        <v>6</v>
      </c>
      <c r="C23" s="16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8" t="n"/>
      <c r="Q23" s="17" t="n"/>
      <c r="R23" s="17" t="n"/>
    </row>
    <row r="24">
      <c r="A24" s="14" t="inlineStr">
        <is>
          <t>Kevin Rodrigues Nunes</t>
        </is>
      </c>
      <c r="B24" s="15" t="n">
        <v>7</v>
      </c>
      <c r="C24" s="16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8" t="n"/>
      <c r="Q24" s="17" t="n"/>
      <c r="R24" s="17" t="n"/>
    </row>
    <row r="25">
      <c r="A25" s="14" t="inlineStr">
        <is>
          <t>Kevin Rodrigues Nunes</t>
        </is>
      </c>
      <c r="B25" s="15" t="n">
        <v>8</v>
      </c>
      <c r="C25" s="16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8" t="n"/>
      <c r="Q25" s="17" t="n"/>
      <c r="R25" s="17" t="n"/>
    </row>
    <row r="26">
      <c r="A26" s="14" t="inlineStr">
        <is>
          <t>Kevin Rodrigues Nunes</t>
        </is>
      </c>
      <c r="B26" s="15" t="n">
        <v>9</v>
      </c>
      <c r="C26" s="16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8" t="n"/>
      <c r="Q26" s="17" t="n"/>
      <c r="R26" s="17" t="n"/>
    </row>
    <row r="27">
      <c r="A27" s="14" t="inlineStr">
        <is>
          <t>Kevin Rodrigues Nunes</t>
        </is>
      </c>
      <c r="B27" s="15" t="n">
        <v>10</v>
      </c>
      <c r="C27" s="16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7" t="n"/>
    </row>
    <row r="28">
      <c r="A28" s="14" t="inlineStr">
        <is>
          <t>Kevin Rodrigues Nunes</t>
        </is>
      </c>
      <c r="B28" s="15" t="n">
        <v>11</v>
      </c>
      <c r="C28" s="16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8" t="n"/>
      <c r="Q28" s="17" t="n"/>
      <c r="R28" s="17" t="n"/>
    </row>
    <row r="29">
      <c r="A29" s="14" t="inlineStr">
        <is>
          <t>Kevin Rodrigues Nunes</t>
        </is>
      </c>
      <c r="B29" s="15" t="n">
        <v>12</v>
      </c>
      <c r="C29" s="16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8" t="n"/>
      <c r="Q29" s="17" t="n"/>
      <c r="R29" s="17" t="n"/>
    </row>
    <row r="30">
      <c r="A30" s="14" t="inlineStr">
        <is>
          <t>Kevin Rodrigues Nunes</t>
        </is>
      </c>
      <c r="B30" s="15" t="n">
        <v>13</v>
      </c>
      <c r="C30" s="16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8" t="n"/>
      <c r="Q30" s="17" t="n"/>
      <c r="R30" s="17" t="n"/>
    </row>
    <row r="31">
      <c r="A31" s="14" t="inlineStr">
        <is>
          <t>Kevin Rodrigues Nunes</t>
        </is>
      </c>
      <c r="B31" s="15" t="n">
        <v>14</v>
      </c>
      <c r="C31" s="16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8" t="n"/>
      <c r="Q31" s="17" t="n"/>
      <c r="R31" s="17" t="n"/>
    </row>
    <row r="32">
      <c r="A32" s="14" t="inlineStr">
        <is>
          <t>Kevin Rodrigues Nunes</t>
        </is>
      </c>
      <c r="B32" s="15" t="n">
        <v>15</v>
      </c>
      <c r="C32" s="16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8" t="n"/>
      <c r="Q32" s="17" t="n"/>
      <c r="R32" s="17" t="n"/>
    </row>
    <row r="33">
      <c r="A33" s="14" t="inlineStr">
        <is>
          <t>Luiz Felipe Couto de Souza</t>
        </is>
      </c>
      <c r="B33" s="15" t="n">
        <v>1</v>
      </c>
      <c r="C33" s="16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8" t="n"/>
      <c r="Q33" s="17" t="n"/>
      <c r="R33" s="17" t="n"/>
    </row>
    <row r="34">
      <c r="A34" s="14" t="inlineStr">
        <is>
          <t>Luiz Felipe Couto de Souza</t>
        </is>
      </c>
      <c r="B34" s="15" t="n">
        <v>2</v>
      </c>
      <c r="C34" s="16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8" t="n"/>
      <c r="Q34" s="17" t="n"/>
      <c r="R34" s="17" t="n"/>
    </row>
    <row r="35">
      <c r="A35" s="14" t="inlineStr">
        <is>
          <t>Luiz Felipe Couto de Souza</t>
        </is>
      </c>
      <c r="B35" s="15" t="n">
        <v>3</v>
      </c>
      <c r="C35" s="16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8" t="n"/>
      <c r="Q35" s="17" t="n"/>
      <c r="R35" s="17" t="n"/>
    </row>
    <row r="36">
      <c r="A36" s="14" t="inlineStr">
        <is>
          <t>Luiz Felipe Couto de Souza</t>
        </is>
      </c>
      <c r="B36" s="15" t="n">
        <v>4</v>
      </c>
      <c r="C36" s="16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8" t="n"/>
      <c r="Q36" s="17" t="n"/>
      <c r="R36" s="17" t="n"/>
    </row>
    <row r="37">
      <c r="A37" s="14" t="inlineStr">
        <is>
          <t>Luiz Felipe Couto de Souza</t>
        </is>
      </c>
      <c r="B37" s="15" t="n">
        <v>5</v>
      </c>
      <c r="C37" s="16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8" t="n"/>
      <c r="Q37" s="17" t="n"/>
      <c r="R37" s="17" t="n"/>
    </row>
    <row r="38">
      <c r="A38" s="14" t="inlineStr">
        <is>
          <t>Luiz Felipe Couto de Souza</t>
        </is>
      </c>
      <c r="B38" s="15" t="n">
        <v>6</v>
      </c>
      <c r="C38" s="16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8" t="n"/>
      <c r="Q38" s="17" t="n"/>
      <c r="R38" s="17" t="n"/>
    </row>
    <row r="39">
      <c r="A39" s="14" t="inlineStr">
        <is>
          <t>Luiz Felipe Couto de Souza</t>
        </is>
      </c>
      <c r="B39" s="15" t="n">
        <v>7</v>
      </c>
      <c r="C39" s="16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8" t="n"/>
      <c r="Q39" s="17" t="n"/>
      <c r="R39" s="17" t="n"/>
    </row>
    <row r="40">
      <c r="A40" s="14" t="inlineStr">
        <is>
          <t>Luiz Felipe Couto de Souza</t>
        </is>
      </c>
      <c r="B40" s="15" t="n">
        <v>8</v>
      </c>
      <c r="C40" s="16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8" t="n"/>
      <c r="Q40" s="17" t="n"/>
      <c r="R40" s="17" t="n"/>
    </row>
    <row r="41">
      <c r="A41" s="14" t="inlineStr">
        <is>
          <t>Luiz Felipe Couto de Souza</t>
        </is>
      </c>
      <c r="B41" s="15" t="n">
        <v>9</v>
      </c>
      <c r="C41" s="16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8" t="n"/>
      <c r="Q41" s="17" t="n"/>
      <c r="R41" s="17" t="n"/>
    </row>
    <row r="42">
      <c r="A42" s="14" t="inlineStr">
        <is>
          <t>Luiz Felipe Couto de Souza</t>
        </is>
      </c>
      <c r="B42" s="15" t="n">
        <v>10</v>
      </c>
      <c r="C42" s="16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8" t="n"/>
      <c r="Q42" s="17" t="n"/>
      <c r="R42" s="17" t="n"/>
    </row>
    <row r="43">
      <c r="A43" s="14" t="inlineStr">
        <is>
          <t>Luiz Felipe Couto de Souza</t>
        </is>
      </c>
      <c r="B43" s="15" t="n">
        <v>11</v>
      </c>
      <c r="C43" s="16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8" t="n"/>
      <c r="Q43" s="17" t="n"/>
      <c r="R43" s="17" t="n"/>
    </row>
    <row r="44">
      <c r="A44" s="14" t="inlineStr">
        <is>
          <t>Luiz Felipe Couto de Souza</t>
        </is>
      </c>
      <c r="B44" s="15" t="n">
        <v>12</v>
      </c>
      <c r="C44" s="16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8" t="n"/>
      <c r="Q44" s="17" t="n"/>
      <c r="R44" s="17" t="n"/>
    </row>
    <row r="45">
      <c r="A45" s="14" t="inlineStr">
        <is>
          <t>Luiz Felipe Couto de Souza</t>
        </is>
      </c>
      <c r="B45" s="15" t="n">
        <v>13</v>
      </c>
      <c r="C45" s="16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8" t="n"/>
      <c r="Q45" s="17" t="n"/>
      <c r="R45" s="17" t="n"/>
    </row>
    <row r="46">
      <c r="A46" s="14" t="inlineStr">
        <is>
          <t>Luiz Felipe Couto de Souza</t>
        </is>
      </c>
      <c r="B46" s="15" t="n">
        <v>14</v>
      </c>
      <c r="C46" s="16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8" t="n"/>
      <c r="Q46" s="17" t="n"/>
      <c r="R46" s="17" t="n"/>
    </row>
    <row r="47">
      <c r="A47" s="14" t="inlineStr">
        <is>
          <t>Luiz Felipe Couto de Souza</t>
        </is>
      </c>
      <c r="B47" s="15" t="n">
        <v>15</v>
      </c>
      <c r="C47" s="16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8" t="n"/>
      <c r="Q47" s="17" t="n"/>
      <c r="R47" s="17" t="n"/>
    </row>
    <row r="48">
      <c r="A48" s="14" t="inlineStr">
        <is>
          <t>Renan Biruel Uema</t>
        </is>
      </c>
      <c r="B48" s="15" t="n">
        <v>1</v>
      </c>
      <c r="C48" s="16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8" t="n"/>
      <c r="Q48" s="17" t="n"/>
      <c r="R48" s="17" t="n"/>
    </row>
    <row r="49">
      <c r="A49" s="14" t="inlineStr">
        <is>
          <t>Renan Biruel Uema</t>
        </is>
      </c>
      <c r="B49" s="15" t="n">
        <v>2</v>
      </c>
      <c r="C49" s="16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8" t="n"/>
      <c r="Q49" s="17" t="n"/>
      <c r="R49" s="17" t="n"/>
    </row>
    <row r="50">
      <c r="A50" s="14" t="inlineStr">
        <is>
          <t>Renan Biruel Uema</t>
        </is>
      </c>
      <c r="B50" s="15" t="n">
        <v>3</v>
      </c>
      <c r="C50" s="16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8" t="n"/>
      <c r="Q50" s="17" t="n"/>
      <c r="R50" s="17" t="n"/>
    </row>
    <row r="51">
      <c r="A51" s="14" t="inlineStr">
        <is>
          <t>Renan Biruel Uema</t>
        </is>
      </c>
      <c r="B51" s="15" t="n">
        <v>4</v>
      </c>
      <c r="C51" s="16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8" t="n"/>
      <c r="Q51" s="17" t="n"/>
      <c r="R51" s="17" t="n"/>
    </row>
    <row r="52">
      <c r="A52" s="14" t="inlineStr">
        <is>
          <t>Renan Biruel Uema</t>
        </is>
      </c>
      <c r="B52" s="15" t="n">
        <v>5</v>
      </c>
      <c r="C52" s="16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8" t="n"/>
      <c r="Q52" s="17" t="n"/>
      <c r="R52" s="17" t="n"/>
    </row>
    <row r="53">
      <c r="A53" s="14" t="inlineStr">
        <is>
          <t>Renan Biruel Uema</t>
        </is>
      </c>
      <c r="B53" s="15" t="n">
        <v>6</v>
      </c>
      <c r="C53" s="16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8" t="n"/>
      <c r="Q53" s="17" t="n"/>
      <c r="R53" s="17" t="n"/>
    </row>
    <row r="54">
      <c r="A54" s="14" t="inlineStr">
        <is>
          <t>Renan Biruel Uema</t>
        </is>
      </c>
      <c r="B54" s="15" t="n">
        <v>7</v>
      </c>
      <c r="C54" s="16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8" t="n"/>
      <c r="Q54" s="17" t="n"/>
      <c r="R54" s="17" t="n"/>
    </row>
    <row r="55">
      <c r="A55" s="14" t="inlineStr">
        <is>
          <t>Renan Biruel Uema</t>
        </is>
      </c>
      <c r="B55" s="15" t="n">
        <v>8</v>
      </c>
      <c r="C55" s="16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8" t="n"/>
      <c r="Q55" s="17" t="n"/>
      <c r="R55" s="17" t="n"/>
    </row>
    <row r="56">
      <c r="A56" s="14" t="inlineStr">
        <is>
          <t>Renan Biruel Uema</t>
        </is>
      </c>
      <c r="B56" s="15" t="n">
        <v>9</v>
      </c>
      <c r="C56" s="16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8" t="n"/>
      <c r="Q56" s="17" t="n"/>
      <c r="R56" s="17" t="n"/>
    </row>
    <row r="57">
      <c r="A57" s="14" t="inlineStr">
        <is>
          <t>Renan Biruel Uema</t>
        </is>
      </c>
      <c r="B57" s="15" t="n">
        <v>10</v>
      </c>
      <c r="C57" s="16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8" t="n"/>
      <c r="Q57" s="17" t="n"/>
      <c r="R57" s="17" t="n"/>
    </row>
    <row r="58">
      <c r="A58" s="14" t="inlineStr">
        <is>
          <t>Renan Biruel Uema</t>
        </is>
      </c>
      <c r="B58" s="15" t="n">
        <v>11</v>
      </c>
      <c r="C58" s="16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8" t="n"/>
      <c r="Q58" s="17" t="n"/>
      <c r="R58" s="17" t="n"/>
    </row>
    <row r="59">
      <c r="A59" s="14" t="inlineStr">
        <is>
          <t>Renan Biruel Uema</t>
        </is>
      </c>
      <c r="B59" s="15" t="n">
        <v>12</v>
      </c>
      <c r="C59" s="16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8" t="n"/>
      <c r="Q59" s="17" t="n"/>
      <c r="R59" s="17" t="n"/>
    </row>
    <row r="60">
      <c r="A60" s="14" t="inlineStr">
        <is>
          <t>Renan Biruel Uema</t>
        </is>
      </c>
      <c r="B60" s="15" t="n">
        <v>13</v>
      </c>
      <c r="C60" s="16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8" t="n"/>
      <c r="Q60" s="17" t="n"/>
      <c r="R60" s="17" t="n"/>
    </row>
    <row r="61">
      <c r="A61" s="14" t="inlineStr">
        <is>
          <t>Renan Biruel Uema</t>
        </is>
      </c>
      <c r="B61" s="15" t="n">
        <v>14</v>
      </c>
      <c r="C61" s="16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8" t="n"/>
      <c r="Q61" s="17" t="n"/>
      <c r="R61" s="17" t="n"/>
    </row>
    <row r="62">
      <c r="A62" s="14" t="inlineStr">
        <is>
          <t>Renan Biruel Uema</t>
        </is>
      </c>
      <c r="B62" s="15" t="n">
        <v>15</v>
      </c>
      <c r="C62" s="16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8" t="n"/>
      <c r="Q62" s="17" t="n"/>
      <c r="R62" s="17" t="n"/>
    </row>
    <row r="63">
      <c r="A63" s="14" t="inlineStr">
        <is>
          <t>Victor Yodono</t>
        </is>
      </c>
      <c r="B63" s="15" t="n">
        <v>1</v>
      </c>
      <c r="C63" s="16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8" t="n"/>
      <c r="Q63" s="17" t="n"/>
      <c r="R63" s="17" t="n"/>
    </row>
    <row r="64">
      <c r="A64" s="14" t="inlineStr">
        <is>
          <t>Victor Yodono</t>
        </is>
      </c>
      <c r="B64" s="15" t="n">
        <v>2</v>
      </c>
      <c r="C64" s="16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8" t="n"/>
      <c r="Q64" s="17" t="n"/>
      <c r="R64" s="17" t="n"/>
    </row>
    <row r="65">
      <c r="A65" s="14" t="inlineStr">
        <is>
          <t>Victor Yodono</t>
        </is>
      </c>
      <c r="B65" s="15" t="n">
        <v>3</v>
      </c>
      <c r="C65" s="16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8" t="n"/>
      <c r="Q65" s="17" t="n"/>
      <c r="R65" s="17" t="n"/>
    </row>
    <row r="66">
      <c r="A66" s="14" t="inlineStr">
        <is>
          <t>Victor Yodono</t>
        </is>
      </c>
      <c r="B66" s="15" t="n">
        <v>4</v>
      </c>
      <c r="C66" s="16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8" t="n"/>
      <c r="Q66" s="17" t="n"/>
      <c r="R66" s="17" t="n"/>
    </row>
    <row r="67">
      <c r="A67" s="14" t="inlineStr">
        <is>
          <t>Victor Yodono</t>
        </is>
      </c>
      <c r="B67" s="15" t="n">
        <v>5</v>
      </c>
      <c r="C67" s="16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8" t="n"/>
      <c r="Q67" s="17" t="n"/>
      <c r="R67" s="17" t="n"/>
    </row>
    <row r="68">
      <c r="A68" s="14" t="inlineStr">
        <is>
          <t>Victor Yodono</t>
        </is>
      </c>
      <c r="B68" s="15" t="n">
        <v>6</v>
      </c>
      <c r="C68" s="16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8" t="n"/>
      <c r="Q68" s="17" t="n"/>
      <c r="R68" s="17" t="n"/>
    </row>
    <row r="69">
      <c r="A69" s="14" t="inlineStr">
        <is>
          <t>Victor Yodono</t>
        </is>
      </c>
      <c r="B69" s="15" t="n">
        <v>7</v>
      </c>
      <c r="C69" s="16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8" t="n"/>
      <c r="Q69" s="17" t="n"/>
      <c r="R69" s="17" t="n"/>
    </row>
    <row r="70">
      <c r="A70" s="14" t="inlineStr">
        <is>
          <t>Victor Yodono</t>
        </is>
      </c>
      <c r="B70" s="15" t="n">
        <v>8</v>
      </c>
      <c r="C70" s="16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8" t="n"/>
      <c r="Q70" s="17" t="n"/>
      <c r="R70" s="17" t="n"/>
    </row>
    <row r="71">
      <c r="A71" s="14" t="inlineStr">
        <is>
          <t>Victor Yodono</t>
        </is>
      </c>
      <c r="B71" s="15" t="n">
        <v>9</v>
      </c>
      <c r="C71" s="16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8" t="n"/>
      <c r="Q71" s="17" t="n"/>
      <c r="R71" s="17" t="n"/>
    </row>
    <row r="72">
      <c r="A72" s="14" t="inlineStr">
        <is>
          <t>Victor Yodono</t>
        </is>
      </c>
      <c r="B72" s="15" t="n">
        <v>10</v>
      </c>
      <c r="C72" s="16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8" t="n"/>
      <c r="Q72" s="17" t="n"/>
      <c r="R72" s="17" t="n"/>
    </row>
    <row r="73">
      <c r="A73" s="14" t="inlineStr">
        <is>
          <t>Victor Yodono</t>
        </is>
      </c>
      <c r="B73" s="15" t="n">
        <v>11</v>
      </c>
      <c r="C73" s="16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8" t="n"/>
      <c r="Q73" s="17" t="n"/>
      <c r="R73" s="17" t="n"/>
    </row>
    <row r="74">
      <c r="A74" s="14" t="inlineStr">
        <is>
          <t>Victor Yodono</t>
        </is>
      </c>
      <c r="B74" s="15" t="n">
        <v>12</v>
      </c>
      <c r="C74" s="16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8" t="n"/>
      <c r="Q74" s="17" t="n"/>
      <c r="R74" s="17" t="n"/>
    </row>
    <row r="75">
      <c r="A75" s="14" t="inlineStr">
        <is>
          <t>Victor Yodono</t>
        </is>
      </c>
      <c r="B75" s="15" t="n">
        <v>13</v>
      </c>
      <c r="C75" s="16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8" t="n"/>
      <c r="Q75" s="17" t="n"/>
      <c r="R75" s="17" t="n"/>
    </row>
    <row r="76">
      <c r="A76" s="14" t="inlineStr">
        <is>
          <t>Victor Yodono</t>
        </is>
      </c>
      <c r="B76" s="15" t="n">
        <v>14</v>
      </c>
      <c r="C76" s="16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8" t="n"/>
      <c r="Q76" s="17" t="n"/>
      <c r="R76" s="17" t="n"/>
    </row>
    <row r="77">
      <c r="A77" s="14" t="inlineStr">
        <is>
          <t>Victor Yodono</t>
        </is>
      </c>
      <c r="B77" s="15" t="n">
        <v>15</v>
      </c>
      <c r="C77" s="16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8" t="n"/>
      <c r="Q77" s="17" t="n"/>
      <c r="R77" s="17" t="n"/>
    </row>
  </sheetData>
  <autoFilter ref="A2:R77"/>
  <mergeCells count="5">
    <mergeCell ref="A1:D1"/>
    <mergeCell ref="L1:Q1"/>
    <mergeCell ref="R1"/>
    <mergeCell ref="H1:K1"/>
    <mergeCell ref="E1:G1"/>
  </mergeCells>
  <dataValidations count="9">
    <dataValidation sqref="A3:A77" showDropDown="0" showInputMessage="0" showErrorMessage="1" allowBlank="1" errorTitle="Valor inválido" error="Escolha uma opção da lista." type="list">
      <formula1>"Kauã Lima de Souza,Kevin Rodrigues Nunes,Luiz Felipe Couto de Souza,Renan Biruel Uema,Victor Yodono"</formula1>
    </dataValidation>
    <dataValidation sqref="C3:C77" showDropDown="0" showInputMessage="0" showErrorMessage="1" allowBlank="1" errorTitle="Data inválida" error="Use uma data entre 01/09/2026 e 31/12/2026." type="date" operator="between">
      <formula1>DATE(2026,9,1)</formula1>
      <formula2>DATE(2026,12,31)</formula2>
    </dataValidation>
    <dataValidation sqref="E3:E77" showDropDown="0" showInputMessage="0" showErrorMessage="1" allowBlank="1" errorTitle="Valor inválido" error="Escolha uma opção da lista." type="list">
      <formula1>"Sim,Com dúvida,Não"</formula1>
    </dataValidation>
    <dataValidation sqref="F3:F77" showDropDown="0" showInputMessage="0" showErrorMessage="1" allowBlank="1" errorTitle="Valor inválido" error="Use um número inteiro de 1 a 5." type="whole" operator="between">
      <formula1>1</formula1>
      <formula2>5</formula2>
    </dataValidation>
    <dataValidation sqref="H3:H77" showDropDown="0" showInputMessage="0" showErrorMessage="1" allowBlank="1" errorTitle="Valor inválido" error="Escolha uma opção da lista." type="list">
      <formula1>"Sim,Não"</formula1>
    </dataValidation>
    <dataValidation sqref="K3:K77" showDropDown="0" showInputMessage="0" showErrorMessage="1" allowBlank="1" errorTitle="Valor inválido" error="Escolha uma opção da lista." type="list">
      <formula1>"Sim,Só se igual,Não"</formula1>
    </dataValidation>
    <dataValidation sqref="L3:L77" showDropDown="0" showInputMessage="0" showErrorMessage="1" allowBlank="1" errorTitle="Valor inválido" error="Escolha uma opção da lista." type="list">
      <formula1>"Celular,Totem"</formula1>
    </dataValidation>
    <dataValidation sqref="N3:N77" showDropDown="0" showInputMessage="0" showErrorMessage="1" allowBlank="1" errorTitle="Valor inválido" error="Escolha uma opção da lista." type="list">
      <formula1>"Sim,Não"</formula1>
    </dataValidation>
    <dataValidation sqref="P3:P77" showDropDown="0" showInputMessage="0" showErrorMessage="1" allowBlank="1" errorTitle="Valor inválido" error="Use um número inteiro de 1 a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Resumo das entrevistas (calculado a partir da aba Respostas)</t>
        </is>
      </c>
    </row>
    <row r="3">
      <c r="A3" s="3" t="inlineStr">
        <is>
          <t>Andamento</t>
        </is>
      </c>
    </row>
    <row r="4">
      <c r="A4" s="6" t="inlineStr">
        <is>
          <t>Entrevistador</t>
        </is>
      </c>
      <c r="B4" s="6" t="inlineStr">
        <is>
          <t>Feitas</t>
        </is>
      </c>
      <c r="C4" s="6" t="inlineStr">
        <is>
          <t>Meta</t>
        </is>
      </c>
      <c r="D4" s="6" t="inlineStr">
        <is>
          <t>% da meta</t>
        </is>
      </c>
    </row>
    <row r="5">
      <c r="A5" s="9" t="inlineStr">
        <is>
          <t>Kauã Lima de Souza</t>
        </is>
      </c>
      <c r="B5" s="19">
        <f>SUMPRODUCT((Respostas!$A$3:$A$77=A5)*(Respostas!$C$3:$C$77&lt;&gt;""))</f>
        <v/>
      </c>
      <c r="C5" s="19" t="n">
        <v>15</v>
      </c>
      <c r="D5" s="20">
        <f>IFERROR(B5/C5,0)</f>
        <v/>
      </c>
    </row>
    <row r="6">
      <c r="A6" s="9" t="inlineStr">
        <is>
          <t>Kevin Rodrigues Nunes</t>
        </is>
      </c>
      <c r="B6" s="19">
        <f>SUMPRODUCT((Respostas!$A$3:$A$77=A6)*(Respostas!$C$3:$C$77&lt;&gt;""))</f>
        <v/>
      </c>
      <c r="C6" s="19" t="n">
        <v>15</v>
      </c>
      <c r="D6" s="20">
        <f>IFERROR(B6/C6,0)</f>
        <v/>
      </c>
    </row>
    <row r="7">
      <c r="A7" s="9" t="inlineStr">
        <is>
          <t>Luiz Felipe Couto de Souza</t>
        </is>
      </c>
      <c r="B7" s="19">
        <f>SUMPRODUCT((Respostas!$A$3:$A$77=A7)*(Respostas!$C$3:$C$77&lt;&gt;""))</f>
        <v/>
      </c>
      <c r="C7" s="19" t="n">
        <v>15</v>
      </c>
      <c r="D7" s="20">
        <f>IFERROR(B7/C7,0)</f>
        <v/>
      </c>
    </row>
    <row r="8">
      <c r="A8" s="9" t="inlineStr">
        <is>
          <t>Renan Biruel Uema</t>
        </is>
      </c>
      <c r="B8" s="19">
        <f>SUMPRODUCT((Respostas!$A$3:$A$77=A8)*(Respostas!$C$3:$C$77&lt;&gt;""))</f>
        <v/>
      </c>
      <c r="C8" s="19" t="n">
        <v>15</v>
      </c>
      <c r="D8" s="20">
        <f>IFERROR(B8/C8,0)</f>
        <v/>
      </c>
    </row>
    <row r="9">
      <c r="A9" s="9" t="inlineStr">
        <is>
          <t>Victor Yodono</t>
        </is>
      </c>
      <c r="B9" s="19">
        <f>SUMPRODUCT((Respostas!$A$3:$A$77=A9)*(Respostas!$C$3:$C$77&lt;&gt;""))</f>
        <v/>
      </c>
      <c r="C9" s="19" t="n">
        <v>15</v>
      </c>
      <c r="D9" s="20">
        <f>IFERROR(B9/C9,0)</f>
        <v/>
      </c>
    </row>
    <row r="10">
      <c r="A10" s="21" t="inlineStr">
        <is>
          <t>Grupo</t>
        </is>
      </c>
      <c r="B10" s="22">
        <f>SUM(B5:B9)</f>
        <v/>
      </c>
      <c r="C10" s="22">
        <f>SUM(C5:C9)</f>
        <v/>
      </c>
      <c r="D10" s="23">
        <f>IFERROR(B10/C10,0)</f>
        <v/>
      </c>
    </row>
    <row r="12">
      <c r="A12" s="3" t="inlineStr">
        <is>
          <t>P1. Pede sozinho, sem ajuda? (tela 1)</t>
        </is>
      </c>
    </row>
    <row r="13">
      <c r="A13" s="6" t="inlineStr">
        <is>
          <t>Resposta</t>
        </is>
      </c>
      <c r="B13" s="6" t="inlineStr">
        <is>
          <t>Entrevistas</t>
        </is>
      </c>
      <c r="C13" s="6" t="inlineStr">
        <is>
          <t>% das respostas</t>
        </is>
      </c>
    </row>
    <row r="14">
      <c r="A14" s="9" t="inlineStr">
        <is>
          <t>Sim</t>
        </is>
      </c>
      <c r="B14" s="19">
        <f>COUNTIF(Respostas!$E$3:$E$77,"Sim")</f>
        <v/>
      </c>
      <c r="C14" s="20">
        <f>IFERROR(B14/SUM($B$14:$B$16),0)</f>
        <v/>
      </c>
    </row>
    <row r="15">
      <c r="A15" s="9" t="inlineStr">
        <is>
          <t>Com dúvida</t>
        </is>
      </c>
      <c r="B15" s="19">
        <f>COUNTIF(Respostas!$E$3:$E$77,"Com dúvida")</f>
        <v/>
      </c>
      <c r="C15" s="20">
        <f>IFERROR(B15/SUM($B$14:$B$16),0)</f>
        <v/>
      </c>
    </row>
    <row r="16">
      <c r="A16" s="9" t="inlineStr">
        <is>
          <t>Não</t>
        </is>
      </c>
      <c r="B16" s="19">
        <f>COUNTIF(Respostas!$E$3:$E$77,"Não")</f>
        <v/>
      </c>
      <c r="C16" s="20">
        <f>IFERROR(B16/SUM($B$14:$B$16),0)</f>
        <v/>
      </c>
    </row>
    <row r="17">
      <c r="A17" s="21" t="inlineStr">
        <is>
          <t>Total</t>
        </is>
      </c>
      <c r="B17" s="22">
        <f>SUM(B14:B16)</f>
        <v/>
      </c>
      <c r="C17" s="23">
        <f>IF(B17=0,0,1)</f>
        <v/>
      </c>
    </row>
    <row r="19">
      <c r="A19" s="3" t="inlineStr">
        <is>
          <t>P2. O totem resolveria a espera? (tela 1)</t>
        </is>
      </c>
    </row>
    <row r="20">
      <c r="A20" s="21" t="inlineStr">
        <is>
          <t>Média (1 a 5)</t>
        </is>
      </c>
      <c r="B20" s="24">
        <f>IF(COUNT(Respostas!$F$3:$F$77)=0,"-",AVERAGE(Respostas!$F$3:$F$77))</f>
        <v/>
      </c>
    </row>
    <row r="21">
      <c r="A21" s="6" t="inlineStr">
        <is>
          <t>Nota</t>
        </is>
      </c>
      <c r="B21" s="6" t="inlineStr">
        <is>
          <t>Entrevistas</t>
        </is>
      </c>
      <c r="C21" s="6" t="inlineStr">
        <is>
          <t>% das respostas</t>
        </is>
      </c>
    </row>
    <row r="22">
      <c r="A22" s="25" t="n">
        <v>1</v>
      </c>
      <c r="B22" s="19">
        <f>COUNTIF(Respostas!$F$3:$F$77,1)</f>
        <v/>
      </c>
      <c r="C22" s="20">
        <f>IFERROR(B22/SUM($B$22:$B$26),0)</f>
        <v/>
      </c>
    </row>
    <row r="23">
      <c r="A23" s="25" t="n">
        <v>2</v>
      </c>
      <c r="B23" s="19">
        <f>COUNTIF(Respostas!$F$3:$F$77,2)</f>
        <v/>
      </c>
      <c r="C23" s="20">
        <f>IFERROR(B23/SUM($B$22:$B$26),0)</f>
        <v/>
      </c>
    </row>
    <row r="24">
      <c r="A24" s="25" t="n">
        <v>3</v>
      </c>
      <c r="B24" s="19">
        <f>COUNTIF(Respostas!$F$3:$F$77,3)</f>
        <v/>
      </c>
      <c r="C24" s="20">
        <f>IFERROR(B24/SUM($B$22:$B$26),0)</f>
        <v/>
      </c>
    </row>
    <row r="25">
      <c r="A25" s="25" t="n">
        <v>4</v>
      </c>
      <c r="B25" s="19">
        <f>COUNTIF(Respostas!$F$3:$F$77,4)</f>
        <v/>
      </c>
      <c r="C25" s="20">
        <f>IFERROR(B25/SUM($B$22:$B$26),0)</f>
        <v/>
      </c>
    </row>
    <row r="26">
      <c r="A26" s="25" t="n">
        <v>5</v>
      </c>
      <c r="B26" s="19">
        <f>COUNTIF(Respostas!$F$3:$F$77,5)</f>
        <v/>
      </c>
      <c r="C26" s="20">
        <f>IFERROR(B26/SUM($B$22:$B$26),0)</f>
        <v/>
      </c>
    </row>
    <row r="28">
      <c r="A28" s="3" t="inlineStr">
        <is>
          <t>P4. Pagaria no totem em vez do caixa? (tela 2)</t>
        </is>
      </c>
    </row>
    <row r="29">
      <c r="A29" s="6" t="inlineStr">
        <is>
          <t>Resposta</t>
        </is>
      </c>
      <c r="B29" s="6" t="inlineStr">
        <is>
          <t>Entrevistas</t>
        </is>
      </c>
      <c r="C29" s="6" t="inlineStr">
        <is>
          <t>% das respostas</t>
        </is>
      </c>
    </row>
    <row r="30">
      <c r="A30" s="9" t="inlineStr">
        <is>
          <t>Sim</t>
        </is>
      </c>
      <c r="B30" s="19">
        <f>COUNTIF(Respostas!$H$3:$H$77,"Sim")</f>
        <v/>
      </c>
      <c r="C30" s="20">
        <f>IFERROR(B30/SUM($B$30:$B$31),0)</f>
        <v/>
      </c>
    </row>
    <row r="31">
      <c r="A31" s="9" t="inlineStr">
        <is>
          <t>Não</t>
        </is>
      </c>
      <c r="B31" s="19">
        <f>COUNTIF(Respostas!$H$3:$H$77,"Não")</f>
        <v/>
      </c>
      <c r="C31" s="20">
        <f>IFERROR(B31/SUM($B$30:$B$31),0)</f>
        <v/>
      </c>
    </row>
    <row r="32">
      <c r="A32" s="21" t="inlineStr">
        <is>
          <t>Total</t>
        </is>
      </c>
      <c r="B32" s="22">
        <f>SUM(B30:B31)</f>
        <v/>
      </c>
      <c r="C32" s="23">
        <f>IF(B32=0,0,1)</f>
        <v/>
      </c>
    </row>
    <row r="34">
      <c r="A34" s="3" t="inlineStr">
        <is>
          <t>P6. Pagaria mais caro pela comodidade? (tela 2)</t>
        </is>
      </c>
    </row>
    <row r="35">
      <c r="A35" s="6" t="inlineStr">
        <is>
          <t>Resposta</t>
        </is>
      </c>
      <c r="B35" s="6" t="inlineStr">
        <is>
          <t>Entrevistas</t>
        </is>
      </c>
      <c r="C35" s="6" t="inlineStr">
        <is>
          <t>% das respostas</t>
        </is>
      </c>
    </row>
    <row r="36">
      <c r="A36" s="9" t="inlineStr">
        <is>
          <t>Sim</t>
        </is>
      </c>
      <c r="B36" s="19">
        <f>COUNTIF(Respostas!$K$3:$K$77,"Sim")</f>
        <v/>
      </c>
      <c r="C36" s="20">
        <f>IFERROR(B36/SUM($B$36:$B$38),0)</f>
        <v/>
      </c>
    </row>
    <row r="37">
      <c r="A37" s="9" t="inlineStr">
        <is>
          <t>Só se igual</t>
        </is>
      </c>
      <c r="B37" s="19">
        <f>COUNTIF(Respostas!$K$3:$K$77,"Só se igual")</f>
        <v/>
      </c>
      <c r="C37" s="20">
        <f>IFERROR(B37/SUM($B$36:$B$38),0)</f>
        <v/>
      </c>
    </row>
    <row r="38">
      <c r="A38" s="9" t="inlineStr">
        <is>
          <t>Não</t>
        </is>
      </c>
      <c r="B38" s="19">
        <f>COUNTIF(Respostas!$K$3:$K$77,"Não")</f>
        <v/>
      </c>
      <c r="C38" s="20">
        <f>IFERROR(B38/SUM($B$36:$B$38),0)</f>
        <v/>
      </c>
    </row>
    <row r="39">
      <c r="A39" s="21" t="inlineStr">
        <is>
          <t>Total</t>
        </is>
      </c>
      <c r="B39" s="22">
        <f>SUM(B36:B38)</f>
        <v/>
      </c>
      <c r="C39" s="23">
        <f>IF(B39=0,0,1)</f>
        <v/>
      </c>
    </row>
    <row r="41">
      <c r="A41" s="3" t="inlineStr">
        <is>
          <t>P7. Com fila, celular ou totem? (tela 3)</t>
        </is>
      </c>
    </row>
    <row r="42">
      <c r="A42" s="6" t="inlineStr">
        <is>
          <t>Resposta</t>
        </is>
      </c>
      <c r="B42" s="6" t="inlineStr">
        <is>
          <t>Entrevistas</t>
        </is>
      </c>
      <c r="C42" s="6" t="inlineStr">
        <is>
          <t>% das respostas</t>
        </is>
      </c>
    </row>
    <row r="43">
      <c r="A43" s="9" t="inlineStr">
        <is>
          <t>Celular</t>
        </is>
      </c>
      <c r="B43" s="19">
        <f>COUNTIF(Respostas!$L$3:$L$77,"Celular")</f>
        <v/>
      </c>
      <c r="C43" s="20">
        <f>IFERROR(B43/SUM($B$43:$B$44),0)</f>
        <v/>
      </c>
    </row>
    <row r="44">
      <c r="A44" s="9" t="inlineStr">
        <is>
          <t>Totem</t>
        </is>
      </c>
      <c r="B44" s="19">
        <f>COUNTIF(Respostas!$L$3:$L$77,"Totem")</f>
        <v/>
      </c>
      <c r="C44" s="20">
        <f>IFERROR(B44/SUM($B$43:$B$44),0)</f>
        <v/>
      </c>
    </row>
    <row r="45">
      <c r="A45" s="21" t="inlineStr">
        <is>
          <t>Total</t>
        </is>
      </c>
      <c r="B45" s="22">
        <f>SUM(B43:B44)</f>
        <v/>
      </c>
      <c r="C45" s="23">
        <f>IF(B45=0,0,1)</f>
        <v/>
      </c>
    </row>
    <row r="47">
      <c r="A47" s="3" t="inlineStr">
        <is>
          <t>P8. Escanear sem baixar app é tranquilo? (tela 3)</t>
        </is>
      </c>
    </row>
    <row r="48">
      <c r="A48" s="6" t="inlineStr">
        <is>
          <t>Resposta</t>
        </is>
      </c>
      <c r="B48" s="6" t="inlineStr">
        <is>
          <t>Entrevistas</t>
        </is>
      </c>
      <c r="C48" s="6" t="inlineStr">
        <is>
          <t>% das respostas</t>
        </is>
      </c>
    </row>
    <row r="49">
      <c r="A49" s="9" t="inlineStr">
        <is>
          <t>Sim</t>
        </is>
      </c>
      <c r="B49" s="19">
        <f>COUNTIF(Respostas!$N$3:$N$77,"Sim")</f>
        <v/>
      </c>
      <c r="C49" s="20">
        <f>IFERROR(B49/SUM($B$49:$B$50),0)</f>
        <v/>
      </c>
    </row>
    <row r="50">
      <c r="A50" s="9" t="inlineStr">
        <is>
          <t>Não</t>
        </is>
      </c>
      <c r="B50" s="19">
        <f>COUNTIF(Respostas!$N$3:$N$77,"Não")</f>
        <v/>
      </c>
      <c r="C50" s="20">
        <f>IFERROR(B50/SUM($B$49:$B$50),0)</f>
        <v/>
      </c>
    </row>
    <row r="51">
      <c r="A51" s="21" t="inlineStr">
        <is>
          <t>Total</t>
        </is>
      </c>
      <c r="B51" s="22">
        <f>SUM(B49:B50)</f>
        <v/>
      </c>
      <c r="C51" s="23">
        <f>IF(B51=0,0,1)</f>
        <v/>
      </c>
    </row>
    <row r="53">
      <c r="A53" s="3" t="inlineStr">
        <is>
          <t>P9. Usaria o totem no lugar do caixa? (tela 3)</t>
        </is>
      </c>
    </row>
    <row r="54">
      <c r="A54" s="21" t="inlineStr">
        <is>
          <t>Média (1 a 5)</t>
        </is>
      </c>
      <c r="B54" s="24">
        <f>IF(COUNT(Respostas!$P$3:$P$77)=0,"-",AVERAGE(Respostas!$P$3:$P$77))</f>
        <v/>
      </c>
    </row>
    <row r="55">
      <c r="A55" s="6" t="inlineStr">
        <is>
          <t>Nota</t>
        </is>
      </c>
      <c r="B55" s="6" t="inlineStr">
        <is>
          <t>Entrevistas</t>
        </is>
      </c>
      <c r="C55" s="6" t="inlineStr">
        <is>
          <t>% das respostas</t>
        </is>
      </c>
    </row>
    <row r="56">
      <c r="A56" s="25" t="n">
        <v>1</v>
      </c>
      <c r="B56" s="19">
        <f>COUNTIF(Respostas!$P$3:$P$77,1)</f>
        <v/>
      </c>
      <c r="C56" s="20">
        <f>IFERROR(B56/SUM($B$56:$B$60),0)</f>
        <v/>
      </c>
    </row>
    <row r="57">
      <c r="A57" s="25" t="n">
        <v>2</v>
      </c>
      <c r="B57" s="19">
        <f>COUNTIF(Respostas!$P$3:$P$77,2)</f>
        <v/>
      </c>
      <c r="C57" s="20">
        <f>IFERROR(B57/SUM($B$56:$B$60),0)</f>
        <v/>
      </c>
    </row>
    <row r="58">
      <c r="A58" s="25" t="n">
        <v>3</v>
      </c>
      <c r="B58" s="19">
        <f>COUNTIF(Respostas!$P$3:$P$77,3)</f>
        <v/>
      </c>
      <c r="C58" s="20">
        <f>IFERROR(B58/SUM($B$56:$B$60),0)</f>
        <v/>
      </c>
    </row>
    <row r="59">
      <c r="A59" s="25" t="n">
        <v>4</v>
      </c>
      <c r="B59" s="19">
        <f>COUNTIF(Respostas!$P$3:$P$77,4)</f>
        <v/>
      </c>
      <c r="C59" s="20">
        <f>IFERROR(B59/SUM($B$56:$B$60),0)</f>
        <v/>
      </c>
    </row>
    <row r="60">
      <c r="A60" s="25" t="n">
        <v>5</v>
      </c>
      <c r="B60" s="19">
        <f>COUNTIF(Respostas!$P$3:$P$77,5)</f>
        <v/>
      </c>
      <c r="C60" s="20">
        <f>IFERROR(B60/SUM($B$56:$B$60),0)</f>
        <v/>
      </c>
    </row>
    <row r="62">
      <c r="A62" s="26" t="inlineStr">
        <is>
          <t>As perguntas abertas (P3, P5 e os campos "Por quê" e "Motivo") são agrupadas por tema na análise do documento, não aqui.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2026-09-28T23:03:33Z</dcterms:created>
  <dcterms:modified xsi:type="dcterms:W3CDTF">2026-09-28T23:03:33Z</dcterms:modified>
</cp:coreProperties>
</file>